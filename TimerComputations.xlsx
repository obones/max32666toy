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Electronique\Element14\Challenges\2026_toy\max32666fthr_toy\"/>
    </mc:Choice>
  </mc:AlternateContent>
  <xr:revisionPtr revIDLastSave="0" documentId="13_ncr:1_{1F772D01-1022-41B9-B4B1-0E60EEA023A5}" xr6:coauthVersionLast="47" xr6:coauthVersionMax="47" xr10:uidLastSave="{00000000-0000-0000-0000-000000000000}"/>
  <bookViews>
    <workbookView xWindow="28680" yWindow="-120" windowWidth="29040" windowHeight="16440" xr2:uid="{20DCDF3E-B3F9-4FC8-9014-40F98E60AC5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1" l="1"/>
  <c r="N10" i="1"/>
  <c r="G33" i="1"/>
  <c r="H33" i="1"/>
  <c r="I33" i="1"/>
  <c r="J33" i="1"/>
  <c r="K33" i="1"/>
  <c r="G26" i="1"/>
  <c r="K26" i="1" s="1"/>
  <c r="G27" i="1"/>
  <c r="G28" i="1"/>
  <c r="G29" i="1"/>
  <c r="G30" i="1"/>
  <c r="G31" i="1"/>
  <c r="G32" i="1"/>
  <c r="J32" i="1" s="1"/>
  <c r="H30" i="1"/>
  <c r="I30" i="1" s="1"/>
  <c r="J30" i="1"/>
  <c r="K30" i="1"/>
  <c r="H31" i="1"/>
  <c r="I31" i="1"/>
  <c r="J31" i="1"/>
  <c r="K31" i="1"/>
  <c r="H32" i="1"/>
  <c r="I32" i="1" s="1"/>
  <c r="K27" i="1"/>
  <c r="K28" i="1"/>
  <c r="K29" i="1"/>
  <c r="J27" i="1"/>
  <c r="J28" i="1"/>
  <c r="J29" i="1"/>
  <c r="H27" i="1"/>
  <c r="I27" i="1" s="1"/>
  <c r="H28" i="1"/>
  <c r="I28" i="1" s="1"/>
  <c r="H29" i="1"/>
  <c r="I29" i="1" s="1"/>
  <c r="B20" i="1"/>
  <c r="C20" i="1" s="1"/>
  <c r="M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J26" i="1" l="1"/>
  <c r="H26" i="1"/>
  <c r="I26" i="1" s="1"/>
  <c r="K32" i="1"/>
  <c r="B5" i="1"/>
  <c r="C23" i="1"/>
  <c r="D23" i="1" s="1"/>
  <c r="E20" i="1"/>
  <c r="B14" i="1"/>
  <c r="B13" i="1"/>
  <c r="C26" i="1"/>
  <c r="B15" i="1"/>
  <c r="B4" i="1"/>
  <c r="B16" i="1"/>
  <c r="B12" i="1"/>
  <c r="B11" i="1"/>
  <c r="B10" i="1"/>
  <c r="B8" i="1"/>
  <c r="B7" i="1"/>
  <c r="B9" i="1"/>
  <c r="B6" i="1"/>
  <c r="C5" i="1"/>
  <c r="E5" i="1" l="1"/>
  <c r="F5" i="1"/>
  <c r="G5" i="1" s="1"/>
  <c r="C13" i="1"/>
  <c r="F13" i="1" s="1"/>
  <c r="G13" i="1" s="1"/>
  <c r="C16" i="1"/>
  <c r="C15" i="1"/>
  <c r="C14" i="1"/>
  <c r="C10" i="1"/>
  <c r="F10" i="1" s="1"/>
  <c r="G10" i="1" s="1"/>
  <c r="C8" i="1"/>
  <c r="F8" i="1" s="1"/>
  <c r="G8" i="1" s="1"/>
  <c r="C7" i="1"/>
  <c r="F7" i="1" s="1"/>
  <c r="G7" i="1" s="1"/>
  <c r="C9" i="1"/>
  <c r="C11" i="1"/>
  <c r="F11" i="1" s="1"/>
  <c r="G11" i="1" s="1"/>
  <c r="C6" i="1"/>
  <c r="F6" i="1" s="1"/>
  <c r="G6" i="1" s="1"/>
  <c r="C12" i="1"/>
  <c r="F12" i="1" s="1"/>
  <c r="G12" i="1" s="1"/>
  <c r="C4" i="1"/>
  <c r="F4" i="1" s="1"/>
  <c r="G4" i="1" s="1"/>
  <c r="B26" i="1"/>
  <c r="D10" i="1"/>
  <c r="D5" i="1"/>
  <c r="E9" i="1" l="1"/>
  <c r="F9" i="1"/>
  <c r="G9" i="1" s="1"/>
  <c r="D14" i="1"/>
  <c r="F14" i="1"/>
  <c r="G14" i="1" s="1"/>
  <c r="D15" i="1"/>
  <c r="F15" i="1"/>
  <c r="G15" i="1" s="1"/>
  <c r="D16" i="1"/>
  <c r="F16" i="1"/>
  <c r="G16" i="1" s="1"/>
  <c r="H5" i="1"/>
  <c r="E4" i="1"/>
  <c r="H4" i="1" s="1"/>
  <c r="D12" i="1"/>
  <c r="E12" i="1"/>
  <c r="H12" i="1"/>
  <c r="E6" i="1"/>
  <c r="H6" i="1" s="1"/>
  <c r="D11" i="1"/>
  <c r="E11" i="1"/>
  <c r="H11" i="1"/>
  <c r="E14" i="1"/>
  <c r="E15" i="1"/>
  <c r="E16" i="1"/>
  <c r="D13" i="1"/>
  <c r="H13" i="1"/>
  <c r="E13" i="1"/>
  <c r="E7" i="1"/>
  <c r="H7" i="1" s="1"/>
  <c r="E8" i="1"/>
  <c r="H8" i="1" s="1"/>
  <c r="E10" i="1"/>
  <c r="H10" i="1"/>
  <c r="D8" i="1"/>
  <c r="D9" i="1"/>
  <c r="D4" i="1"/>
  <c r="D6" i="1"/>
  <c r="D7" i="1"/>
  <c r="H14" i="1" l="1"/>
  <c r="H9" i="1"/>
  <c r="H16" i="1"/>
  <c r="H15" i="1"/>
</calcChain>
</file>

<file path=xl/sharedStrings.xml><?xml version="1.0" encoding="utf-8"?>
<sst xmlns="http://schemas.openxmlformats.org/spreadsheetml/2006/main" count="31" uniqueCount="29">
  <si>
    <t>Prescaler</t>
  </si>
  <si>
    <t>tick duration</t>
  </si>
  <si>
    <t>Base Freq</t>
  </si>
  <si>
    <t>Pfreq</t>
  </si>
  <si>
    <t>Software</t>
  </si>
  <si>
    <t>Multiplier</t>
  </si>
  <si>
    <t>Divider</t>
  </si>
  <si>
    <t>bits lost</t>
  </si>
  <si>
    <t>Max value</t>
  </si>
  <si>
    <t>Roll over minutes</t>
  </si>
  <si>
    <t>TIMERS</t>
  </si>
  <si>
    <t>HTIMER</t>
  </si>
  <si>
    <t>IBRO Freq</t>
  </si>
  <si>
    <t>divider</t>
  </si>
  <si>
    <t>Target tick</t>
  </si>
  <si>
    <t>target</t>
  </si>
  <si>
    <t>direct</t>
  </si>
  <si>
    <t>ns_to_ticks</t>
  </si>
  <si>
    <t>dec</t>
  </si>
  <si>
    <t>hex</t>
  </si>
  <si>
    <t>ns</t>
  </si>
  <si>
    <t>F_CPU / 2</t>
  </si>
  <si>
    <t>ns per F_CPU/2</t>
  </si>
  <si>
    <t>ns / (ns per F_CPU/2)</t>
  </si>
  <si>
    <t>us per F_CPU/2</t>
  </si>
  <si>
    <t>((ns * (F_CPU/2 / 1000000) + 500) / 1000)</t>
  </si>
  <si>
    <t>Fastest pin</t>
  </si>
  <si>
    <t>period</t>
  </si>
  <si>
    <t>1/2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</si>
</sst>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1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B1E5-CCAA-4F24-AE67-C1F3DA5F8F9C}">
  <dimension ref="A1:O33"/>
  <sheetViews>
    <sheetView tabSelected="1" workbookViewId="0">
      <selection activeCell="M13" sqref="M13"/>
    </sheetView>
  </sheetViews>
  <sheetFormatPr baseColWidth="10" defaultRowHeight="15" x14ac:dyDescent="0.25"/>
  <cols>
    <col min="2" max="2" width="12.140625" bestFit="1" customWidth="1"/>
    <col min="3" max="3" width="13.42578125" bestFit="1" customWidth="1"/>
    <col min="6" max="6" width="13.85546875" customWidth="1"/>
    <col min="7" max="7" width="14.85546875" customWidth="1"/>
    <col min="8" max="8" width="15.28515625" customWidth="1"/>
    <col min="9" max="9" width="19.5703125" bestFit="1" customWidth="1"/>
    <col min="10" max="10" width="14.28515625" bestFit="1" customWidth="1"/>
    <col min="11" max="11" width="11" bestFit="1" customWidth="1"/>
    <col min="12" max="13" width="12" bestFit="1" customWidth="1"/>
  </cols>
  <sheetData>
    <row r="1" spans="1:15" x14ac:dyDescent="0.25">
      <c r="A1" s="1" t="s">
        <v>10</v>
      </c>
    </row>
    <row r="2" spans="1:15" x14ac:dyDescent="0.25">
      <c r="C2" s="6" t="s">
        <v>4</v>
      </c>
      <c r="D2" s="6"/>
      <c r="F2" s="6" t="s">
        <v>8</v>
      </c>
      <c r="G2" s="6"/>
    </row>
    <row r="3" spans="1:15" x14ac:dyDescent="0.25">
      <c r="A3" t="s">
        <v>0</v>
      </c>
      <c r="B3" t="s">
        <v>1</v>
      </c>
      <c r="C3" t="s">
        <v>6</v>
      </c>
      <c r="D3" t="s">
        <v>5</v>
      </c>
      <c r="E3" t="s">
        <v>7</v>
      </c>
      <c r="F3" t="s">
        <v>18</v>
      </c>
      <c r="G3" t="s">
        <v>19</v>
      </c>
      <c r="H3" t="s">
        <v>9</v>
      </c>
      <c r="L3" t="s">
        <v>2</v>
      </c>
      <c r="M3">
        <v>96000000</v>
      </c>
    </row>
    <row r="4" spans="1:15" x14ac:dyDescent="0.25">
      <c r="A4">
        <v>1</v>
      </c>
      <c r="B4">
        <f t="shared" ref="B4:B16" si="0">1/($M$4/(1/$M$6))*A4</f>
        <v>2.0833333333333332E-2</v>
      </c>
      <c r="C4">
        <f>1/B4</f>
        <v>48</v>
      </c>
      <c r="D4">
        <f>1/C4</f>
        <v>2.0833333333333332E-2</v>
      </c>
      <c r="E4">
        <f>IF(C4&lt;1,ROUNDUP(LOG(1/C4,2),0),0)</f>
        <v>0</v>
      </c>
      <c r="F4" s="4">
        <f t="shared" ref="F4:F9" si="1">IF(C4&lt;1,POWER(2,32)*C4,POWER(2,32)-1)</f>
        <v>4294967295</v>
      </c>
      <c r="G4" s="4" t="str">
        <f t="shared" ref="G4:G9" si="2">DEC2HEX(F4,8)</f>
        <v>FFFFFFFF</v>
      </c>
      <c r="H4" s="3">
        <f t="shared" ref="H4:H16" si="3">B4*$M$6*F4/60</f>
        <v>1.4913080885416663</v>
      </c>
      <c r="J4" s="3"/>
      <c r="L4" t="s">
        <v>3</v>
      </c>
      <c r="M4">
        <f>M3/2</f>
        <v>48000000</v>
      </c>
    </row>
    <row r="5" spans="1:15" x14ac:dyDescent="0.25">
      <c r="A5">
        <f>A4*2</f>
        <v>2</v>
      </c>
      <c r="B5">
        <f t="shared" si="0"/>
        <v>4.1666666666666664E-2</v>
      </c>
      <c r="C5">
        <f t="shared" ref="C5:D16" si="4">1/B5</f>
        <v>24</v>
      </c>
      <c r="D5">
        <f t="shared" si="4"/>
        <v>4.1666666666666664E-2</v>
      </c>
      <c r="E5">
        <f t="shared" ref="E5:E16" si="5">IF(C5&lt;1,ROUNDUP(LOG(1/C5,2),0),0)</f>
        <v>0</v>
      </c>
      <c r="F5" s="4">
        <f t="shared" si="1"/>
        <v>4294967295</v>
      </c>
      <c r="G5" s="4" t="str">
        <f t="shared" si="2"/>
        <v>FFFFFFFF</v>
      </c>
      <c r="H5" s="3">
        <f t="shared" si="3"/>
        <v>2.9826161770833326</v>
      </c>
      <c r="J5" s="3"/>
    </row>
    <row r="6" spans="1:15" x14ac:dyDescent="0.25">
      <c r="A6">
        <f t="shared" ref="A6:A16" si="6">A5*2</f>
        <v>4</v>
      </c>
      <c r="B6">
        <f t="shared" si="0"/>
        <v>8.3333333333333329E-2</v>
      </c>
      <c r="C6">
        <f t="shared" si="4"/>
        <v>12</v>
      </c>
      <c r="D6">
        <f t="shared" si="4"/>
        <v>8.3333333333333329E-2</v>
      </c>
      <c r="E6">
        <f t="shared" si="5"/>
        <v>0</v>
      </c>
      <c r="F6" s="4">
        <f t="shared" si="1"/>
        <v>4294967295</v>
      </c>
      <c r="G6" s="4" t="str">
        <f t="shared" si="2"/>
        <v>FFFFFFFF</v>
      </c>
      <c r="H6" s="3">
        <f t="shared" si="3"/>
        <v>5.9652323541666652</v>
      </c>
      <c r="J6" s="3"/>
      <c r="L6" t="s">
        <v>14</v>
      </c>
      <c r="M6" s="2">
        <v>9.9999999999999995E-7</v>
      </c>
    </row>
    <row r="7" spans="1:15" x14ac:dyDescent="0.25">
      <c r="A7">
        <f t="shared" si="6"/>
        <v>8</v>
      </c>
      <c r="B7">
        <f t="shared" si="0"/>
        <v>0.16666666666666666</v>
      </c>
      <c r="C7">
        <f t="shared" si="4"/>
        <v>6</v>
      </c>
      <c r="D7">
        <f t="shared" si="4"/>
        <v>0.16666666666666666</v>
      </c>
      <c r="E7">
        <f t="shared" si="5"/>
        <v>0</v>
      </c>
      <c r="F7" s="4">
        <f t="shared" si="1"/>
        <v>4294967295</v>
      </c>
      <c r="G7" s="4" t="str">
        <f t="shared" si="2"/>
        <v>FFFFFFFF</v>
      </c>
      <c r="H7" s="3">
        <f t="shared" si="3"/>
        <v>11.93046470833333</v>
      </c>
      <c r="J7" s="3"/>
    </row>
    <row r="8" spans="1:15" x14ac:dyDescent="0.25">
      <c r="A8">
        <f t="shared" si="6"/>
        <v>16</v>
      </c>
      <c r="B8">
        <f t="shared" si="0"/>
        <v>0.33333333333333331</v>
      </c>
      <c r="C8">
        <f t="shared" si="4"/>
        <v>3</v>
      </c>
      <c r="D8">
        <f t="shared" si="4"/>
        <v>0.33333333333333331</v>
      </c>
      <c r="E8">
        <f t="shared" si="5"/>
        <v>0</v>
      </c>
      <c r="F8" s="4">
        <f t="shared" si="1"/>
        <v>4294967295</v>
      </c>
      <c r="G8" s="4" t="str">
        <f t="shared" si="2"/>
        <v>FFFFFFFF</v>
      </c>
      <c r="H8" s="3">
        <f t="shared" si="3"/>
        <v>23.860929416666661</v>
      </c>
      <c r="J8" s="3"/>
      <c r="K8" s="4"/>
      <c r="N8" s="4"/>
      <c r="O8" s="4"/>
    </row>
    <row r="9" spans="1:15" x14ac:dyDescent="0.25">
      <c r="A9">
        <f t="shared" si="6"/>
        <v>32</v>
      </c>
      <c r="B9">
        <f t="shared" si="0"/>
        <v>0.66666666666666663</v>
      </c>
      <c r="C9">
        <f t="shared" si="4"/>
        <v>1.5</v>
      </c>
      <c r="D9">
        <f t="shared" si="4"/>
        <v>0.66666666666666663</v>
      </c>
      <c r="E9">
        <f t="shared" si="5"/>
        <v>0</v>
      </c>
      <c r="F9" s="4">
        <f t="shared" si="1"/>
        <v>4294967295</v>
      </c>
      <c r="G9" s="4" t="str">
        <f t="shared" si="2"/>
        <v>FFFFFFFF</v>
      </c>
      <c r="H9" s="3">
        <f t="shared" si="3"/>
        <v>47.721858833333322</v>
      </c>
      <c r="J9" s="3"/>
      <c r="K9" s="4"/>
      <c r="M9" t="s">
        <v>27</v>
      </c>
      <c r="N9" s="4" t="s">
        <v>28</v>
      </c>
      <c r="O9" s="4"/>
    </row>
    <row r="10" spans="1:15" x14ac:dyDescent="0.25">
      <c r="A10">
        <f t="shared" si="6"/>
        <v>64</v>
      </c>
      <c r="B10">
        <f t="shared" si="0"/>
        <v>1.3333333333333333</v>
      </c>
      <c r="C10">
        <f t="shared" si="4"/>
        <v>0.75</v>
      </c>
      <c r="D10">
        <f t="shared" si="4"/>
        <v>1.3333333333333333</v>
      </c>
      <c r="E10">
        <f t="shared" si="5"/>
        <v>1</v>
      </c>
      <c r="F10" s="4">
        <f>IF(C10&lt;1,POWER(2,32)*C10,POWER(2,32)-1)</f>
        <v>3221225472</v>
      </c>
      <c r="G10" s="4" t="str">
        <f>DEC2HEX(F10,8)</f>
        <v>C0000000</v>
      </c>
      <c r="H10" s="3">
        <f t="shared" si="3"/>
        <v>71.582788266666668</v>
      </c>
      <c r="J10" s="3"/>
      <c r="K10" s="4"/>
      <c r="L10" t="s">
        <v>26</v>
      </c>
      <c r="M10">
        <v>747</v>
      </c>
      <c r="N10" s="4">
        <f>M10/2</f>
        <v>373.5</v>
      </c>
      <c r="O10" s="4"/>
    </row>
    <row r="11" spans="1:15" x14ac:dyDescent="0.25">
      <c r="A11">
        <f t="shared" si="6"/>
        <v>128</v>
      </c>
      <c r="B11">
        <f t="shared" si="0"/>
        <v>2.6666666666666665</v>
      </c>
      <c r="C11">
        <f t="shared" si="4"/>
        <v>0.375</v>
      </c>
      <c r="D11">
        <f t="shared" si="4"/>
        <v>2.6666666666666665</v>
      </c>
      <c r="E11">
        <f t="shared" si="5"/>
        <v>2</v>
      </c>
      <c r="F11" s="4">
        <f t="shared" ref="F11:F16" si="7">IF(C11&lt;1,POWER(2,32)*C11,POWER(2,32)-1)</f>
        <v>1610612736</v>
      </c>
      <c r="G11" s="4" t="str">
        <f t="shared" ref="G11:G16" si="8">DEC2HEX(F11,8)</f>
        <v>60000000</v>
      </c>
      <c r="H11" s="3">
        <f t="shared" si="3"/>
        <v>71.582788266666668</v>
      </c>
      <c r="J11" s="3"/>
      <c r="K11" s="4"/>
      <c r="N11" s="4"/>
      <c r="O11" s="4"/>
    </row>
    <row r="12" spans="1:15" x14ac:dyDescent="0.25">
      <c r="A12">
        <f t="shared" si="6"/>
        <v>256</v>
      </c>
      <c r="B12">
        <f t="shared" si="0"/>
        <v>5.333333333333333</v>
      </c>
      <c r="C12">
        <f t="shared" si="4"/>
        <v>0.1875</v>
      </c>
      <c r="D12">
        <f t="shared" si="4"/>
        <v>5.333333333333333</v>
      </c>
      <c r="E12">
        <f t="shared" si="5"/>
        <v>3</v>
      </c>
      <c r="F12" s="4">
        <f t="shared" si="7"/>
        <v>805306368</v>
      </c>
      <c r="G12" s="4" t="str">
        <f t="shared" si="8"/>
        <v>30000000</v>
      </c>
      <c r="H12" s="3">
        <f t="shared" si="3"/>
        <v>71.582788266666668</v>
      </c>
      <c r="J12" s="3"/>
      <c r="K12" s="4"/>
      <c r="N12" s="4"/>
      <c r="O12" s="4"/>
    </row>
    <row r="13" spans="1:15" x14ac:dyDescent="0.25">
      <c r="A13">
        <f t="shared" si="6"/>
        <v>512</v>
      </c>
      <c r="B13">
        <f t="shared" si="0"/>
        <v>10.666666666666666</v>
      </c>
      <c r="C13">
        <f t="shared" si="4"/>
        <v>9.375E-2</v>
      </c>
      <c r="D13">
        <f t="shared" si="4"/>
        <v>10.666666666666666</v>
      </c>
      <c r="E13">
        <f t="shared" si="5"/>
        <v>4</v>
      </c>
      <c r="F13" s="4">
        <f t="shared" si="7"/>
        <v>402653184</v>
      </c>
      <c r="G13" s="4" t="str">
        <f t="shared" si="8"/>
        <v>18000000</v>
      </c>
      <c r="H13" s="3">
        <f t="shared" si="3"/>
        <v>71.582788266666668</v>
      </c>
      <c r="J13" s="3"/>
      <c r="K13" s="4"/>
      <c r="L13">
        <v>12288000</v>
      </c>
      <c r="M13" s="3">
        <f>1/L13*1000000000</f>
        <v>81.380208333333329</v>
      </c>
      <c r="N13" s="4"/>
      <c r="O13" s="4"/>
    </row>
    <row r="14" spans="1:15" x14ac:dyDescent="0.25">
      <c r="A14">
        <f t="shared" si="6"/>
        <v>1024</v>
      </c>
      <c r="B14">
        <f t="shared" si="0"/>
        <v>21.333333333333332</v>
      </c>
      <c r="C14">
        <f t="shared" si="4"/>
        <v>4.6875E-2</v>
      </c>
      <c r="D14">
        <f t="shared" si="4"/>
        <v>21.333333333333332</v>
      </c>
      <c r="E14">
        <f t="shared" si="5"/>
        <v>5</v>
      </c>
      <c r="F14" s="4">
        <f t="shared" si="7"/>
        <v>201326592</v>
      </c>
      <c r="G14" s="4" t="str">
        <f t="shared" si="8"/>
        <v>0C000000</v>
      </c>
      <c r="H14" s="3">
        <f t="shared" si="3"/>
        <v>71.582788266666668</v>
      </c>
      <c r="J14" s="3"/>
      <c r="K14" s="4"/>
      <c r="N14" s="4"/>
      <c r="O14" s="4"/>
    </row>
    <row r="15" spans="1:15" x14ac:dyDescent="0.25">
      <c r="A15">
        <f t="shared" si="6"/>
        <v>2048</v>
      </c>
      <c r="B15">
        <f t="shared" si="0"/>
        <v>42.666666666666664</v>
      </c>
      <c r="C15">
        <f t="shared" si="4"/>
        <v>2.34375E-2</v>
      </c>
      <c r="D15">
        <f t="shared" si="4"/>
        <v>42.666666666666664</v>
      </c>
      <c r="E15">
        <f t="shared" si="5"/>
        <v>6</v>
      </c>
      <c r="F15" s="4">
        <f t="shared" si="7"/>
        <v>100663296</v>
      </c>
      <c r="G15" s="4" t="str">
        <f t="shared" si="8"/>
        <v>06000000</v>
      </c>
      <c r="H15" s="3">
        <f t="shared" si="3"/>
        <v>71.582788266666668</v>
      </c>
      <c r="J15" s="3"/>
      <c r="K15" s="4"/>
      <c r="N15" s="4"/>
      <c r="O15" s="4"/>
    </row>
    <row r="16" spans="1:15" x14ac:dyDescent="0.25">
      <c r="A16">
        <f t="shared" si="6"/>
        <v>4096</v>
      </c>
      <c r="B16">
        <f t="shared" si="0"/>
        <v>85.333333333333329</v>
      </c>
      <c r="C16">
        <f t="shared" si="4"/>
        <v>1.171875E-2</v>
      </c>
      <c r="D16">
        <f t="shared" si="4"/>
        <v>85.333333333333329</v>
      </c>
      <c r="E16">
        <f t="shared" si="5"/>
        <v>7</v>
      </c>
      <c r="F16" s="4">
        <f t="shared" si="7"/>
        <v>50331648</v>
      </c>
      <c r="G16" s="4" t="str">
        <f t="shared" si="8"/>
        <v>03000000</v>
      </c>
      <c r="H16" s="3">
        <f t="shared" si="3"/>
        <v>71.582788266666668</v>
      </c>
      <c r="J16" s="3"/>
      <c r="K16" s="4"/>
      <c r="N16" s="4"/>
      <c r="O16" s="4"/>
    </row>
    <row r="17" spans="1:15" x14ac:dyDescent="0.25">
      <c r="O17" s="4"/>
    </row>
    <row r="18" spans="1:15" x14ac:dyDescent="0.25">
      <c r="A18" s="1" t="s">
        <v>11</v>
      </c>
    </row>
    <row r="19" spans="1:15" x14ac:dyDescent="0.25">
      <c r="B19" t="s">
        <v>1</v>
      </c>
      <c r="C19" t="s">
        <v>13</v>
      </c>
      <c r="E19" t="s">
        <v>7</v>
      </c>
      <c r="K19" t="s">
        <v>12</v>
      </c>
      <c r="L19">
        <v>7372800</v>
      </c>
    </row>
    <row r="20" spans="1:15" x14ac:dyDescent="0.25">
      <c r="B20">
        <f>1/(L19/1000000)</f>
        <v>0.13563368055555555</v>
      </c>
      <c r="C20">
        <f>1/B20</f>
        <v>7.3727999999999998</v>
      </c>
      <c r="E20">
        <f>ROUNDUP(LOG(C20,2),0)</f>
        <v>3</v>
      </c>
    </row>
    <row r="23" spans="1:15" x14ac:dyDescent="0.25">
      <c r="B23">
        <v>1251661452</v>
      </c>
      <c r="C23">
        <f>B23/C20</f>
        <v>169767449.54427084</v>
      </c>
      <c r="D23" t="str">
        <f>DEC2HEX(C23)</f>
        <v>A1E7219</v>
      </c>
    </row>
    <row r="25" spans="1:15" x14ac:dyDescent="0.25">
      <c r="A25" t="s">
        <v>15</v>
      </c>
      <c r="B25" t="s">
        <v>16</v>
      </c>
      <c r="C25" t="s">
        <v>17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 t="s">
        <v>25</v>
      </c>
    </row>
    <row r="26" spans="1:15" x14ac:dyDescent="0.25">
      <c r="A26">
        <v>1000</v>
      </c>
      <c r="B26">
        <f>A26/B4</f>
        <v>48000</v>
      </c>
      <c r="C26">
        <f>(A26*M4/1000000)/1000</f>
        <v>48</v>
      </c>
      <c r="F26">
        <v>20.833300000000001</v>
      </c>
      <c r="G26">
        <f>$M$4</f>
        <v>48000000</v>
      </c>
      <c r="H26" s="5">
        <f>1/G26*1000000000</f>
        <v>20.833333333333336</v>
      </c>
      <c r="I26">
        <f>F26/H26</f>
        <v>0.99999839999999995</v>
      </c>
      <c r="J26">
        <f>1/G26*1000000</f>
        <v>2.0833333333333336E-2</v>
      </c>
      <c r="K26">
        <f>TRUNC(((F26*(G26/1000000)+500)/1000))</f>
        <v>1</v>
      </c>
    </row>
    <row r="27" spans="1:15" x14ac:dyDescent="0.25">
      <c r="F27">
        <v>50</v>
      </c>
      <c r="G27">
        <f t="shared" ref="G27:G33" si="9">$M$4</f>
        <v>48000000</v>
      </c>
      <c r="H27" s="5">
        <f t="shared" ref="H27:H33" si="10">1/G27*1000000000</f>
        <v>20.833333333333336</v>
      </c>
      <c r="I27">
        <f t="shared" ref="I27:I29" si="11">F27/H27</f>
        <v>2.4</v>
      </c>
      <c r="J27">
        <f t="shared" ref="J27:J29" si="12">1/G27*1000000</f>
        <v>2.0833333333333336E-2</v>
      </c>
      <c r="K27">
        <f t="shared" ref="K27:K29" si="13">TRUNC(((F27*(G27/1000000)+500)/1000))</f>
        <v>2</v>
      </c>
    </row>
    <row r="28" spans="1:15" x14ac:dyDescent="0.25">
      <c r="F28">
        <v>100</v>
      </c>
      <c r="G28">
        <f t="shared" si="9"/>
        <v>48000000</v>
      </c>
      <c r="H28" s="5">
        <f t="shared" si="10"/>
        <v>20.833333333333336</v>
      </c>
      <c r="I28">
        <f t="shared" si="11"/>
        <v>4.8</v>
      </c>
      <c r="J28">
        <f t="shared" si="12"/>
        <v>2.0833333333333336E-2</v>
      </c>
      <c r="K28">
        <f t="shared" si="13"/>
        <v>5</v>
      </c>
    </row>
    <row r="29" spans="1:15" x14ac:dyDescent="0.25">
      <c r="F29">
        <v>150</v>
      </c>
      <c r="G29">
        <f t="shared" si="9"/>
        <v>48000000</v>
      </c>
      <c r="H29" s="5">
        <f t="shared" si="10"/>
        <v>20.833333333333336</v>
      </c>
      <c r="I29">
        <f t="shared" si="11"/>
        <v>7.1999999999999993</v>
      </c>
      <c r="J29">
        <f t="shared" si="12"/>
        <v>2.0833333333333336E-2</v>
      </c>
      <c r="K29">
        <f t="shared" si="13"/>
        <v>7</v>
      </c>
    </row>
    <row r="30" spans="1:15" x14ac:dyDescent="0.25">
      <c r="F30">
        <v>250</v>
      </c>
      <c r="G30">
        <f t="shared" si="9"/>
        <v>48000000</v>
      </c>
      <c r="H30" s="5">
        <f t="shared" si="10"/>
        <v>20.833333333333336</v>
      </c>
      <c r="I30">
        <f t="shared" ref="I30:I32" si="14">F30/H30</f>
        <v>11.999999999999998</v>
      </c>
      <c r="J30">
        <f t="shared" ref="J30:J32" si="15">1/G30*1000000</f>
        <v>2.0833333333333336E-2</v>
      </c>
      <c r="K30">
        <f t="shared" ref="K30:K32" si="16">TRUNC(((F30*(G30/1000000)+500)/1000))</f>
        <v>12</v>
      </c>
    </row>
    <row r="31" spans="1:15" x14ac:dyDescent="0.25">
      <c r="F31">
        <v>625</v>
      </c>
      <c r="G31">
        <f t="shared" si="9"/>
        <v>48000000</v>
      </c>
      <c r="H31" s="5">
        <f t="shared" si="10"/>
        <v>20.833333333333336</v>
      </c>
      <c r="I31">
        <f t="shared" si="14"/>
        <v>29.999999999999996</v>
      </c>
      <c r="J31">
        <f t="shared" si="15"/>
        <v>2.0833333333333336E-2</v>
      </c>
      <c r="K31">
        <f t="shared" si="16"/>
        <v>30</v>
      </c>
    </row>
    <row r="32" spans="1:15" x14ac:dyDescent="0.25">
      <c r="F32">
        <v>375</v>
      </c>
      <c r="G32">
        <f t="shared" si="9"/>
        <v>48000000</v>
      </c>
      <c r="H32" s="5">
        <f t="shared" si="10"/>
        <v>20.833333333333336</v>
      </c>
      <c r="I32">
        <f t="shared" si="14"/>
        <v>17.999999999999996</v>
      </c>
      <c r="J32">
        <f t="shared" si="15"/>
        <v>2.0833333333333336E-2</v>
      </c>
      <c r="K32">
        <f t="shared" si="16"/>
        <v>18</v>
      </c>
    </row>
    <row r="33" spans="6:11" x14ac:dyDescent="0.25">
      <c r="F33">
        <v>280000</v>
      </c>
      <c r="G33">
        <f t="shared" si="9"/>
        <v>48000000</v>
      </c>
      <c r="H33" s="5">
        <f t="shared" si="10"/>
        <v>20.833333333333336</v>
      </c>
      <c r="I33">
        <f t="shared" ref="I33" si="17">F33/H33</f>
        <v>13439.999999999998</v>
      </c>
      <c r="J33">
        <f t="shared" ref="J33" si="18">1/G33*1000000</f>
        <v>2.0833333333333336E-2</v>
      </c>
      <c r="K33">
        <f t="shared" ref="K33" si="19">TRUNC(((F33*(G33/1000000)+500)/1000))</f>
        <v>13440</v>
      </c>
    </row>
  </sheetData>
  <mergeCells count="2">
    <mergeCell ref="C2:D2"/>
    <mergeCell ref="F2:G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</dc:creator>
  <cp:lastModifiedBy>Olivier</cp:lastModifiedBy>
  <dcterms:created xsi:type="dcterms:W3CDTF">2025-11-07T06:51:57Z</dcterms:created>
  <dcterms:modified xsi:type="dcterms:W3CDTF">2025-11-11T10:05:41Z</dcterms:modified>
</cp:coreProperties>
</file>